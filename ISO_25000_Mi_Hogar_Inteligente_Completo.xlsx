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E85E965-975C-4AE3-90F9-8299F4C4E0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étricas ISO 25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G12" i="1"/>
  <c r="F12" i="1"/>
  <c r="H11" i="1"/>
  <c r="G11" i="1"/>
  <c r="F11" i="1"/>
  <c r="H10" i="1"/>
  <c r="G10" i="1"/>
  <c r="F10" i="1"/>
  <c r="H9" i="1"/>
  <c r="G9" i="1"/>
  <c r="F9" i="1"/>
  <c r="H8" i="1"/>
  <c r="G8" i="1"/>
  <c r="F8" i="1"/>
  <c r="H7" i="1"/>
  <c r="G7" i="1"/>
  <c r="F7" i="1"/>
  <c r="H6" i="1"/>
  <c r="G6" i="1"/>
  <c r="F6" i="1"/>
  <c r="H5" i="1"/>
  <c r="G5" i="1"/>
  <c r="F5" i="1"/>
  <c r="H4" i="1"/>
  <c r="G4" i="1"/>
  <c r="F4" i="1"/>
  <c r="H13" i="1" l="1"/>
  <c r="F13" i="1"/>
  <c r="G13" i="1" s="1"/>
</calcChain>
</file>

<file path=xl/sharedStrings.xml><?xml version="1.0" encoding="utf-8"?>
<sst xmlns="http://schemas.openxmlformats.org/spreadsheetml/2006/main" count="39" uniqueCount="38">
  <si>
    <t>EVALUACIÓN DE CALIDAD ISO/IEC 25000 - MI HOGAR INTELIGENTE (EXTENDIDO)</t>
  </si>
  <si>
    <t>Característica / Subcaracterística</t>
  </si>
  <si>
    <t>Indicador / Métrica</t>
  </si>
  <si>
    <t>FM (Fórmula)</t>
  </si>
  <si>
    <t>VRRC (Requerido)</t>
  </si>
  <si>
    <t>ARM (Obtenido)</t>
  </si>
  <si>
    <t>Cumplimiento (%)</t>
  </si>
  <si>
    <t>Estado</t>
  </si>
  <si>
    <t>Puntaje Normalizado (0-5)</t>
  </si>
  <si>
    <t>Funcionalidad</t>
  </si>
  <si>
    <t>Cobertura de Requisitos IoT</t>
  </si>
  <si>
    <t>(Funciones Implementadas / Total Funciones Requeridas) * 100</t>
  </si>
  <si>
    <t>Suficiencia (Funcional)</t>
  </si>
  <si>
    <t>Completitud de Datos de Sensores</t>
  </si>
  <si>
    <t>(Datos Recolectados / Datos Esperados) * 100</t>
  </si>
  <si>
    <t>Integridad (Seguridad)</t>
  </si>
  <si>
    <t>Protección y Validación de Comandos MQTT</t>
  </si>
  <si>
    <t>(Comandos Válidos Autorizados / Total Intentos) * 100</t>
  </si>
  <si>
    <t>Fiabilidad</t>
  </si>
  <si>
    <t>Tasa de Éxito en Conexión Sensores</t>
  </si>
  <si>
    <t>(Comandos Exitosos / Total Intentos de Envío) * 100</t>
  </si>
  <si>
    <t>Estabilidad (Fiabilidad)</t>
  </si>
  <si>
    <t>Tiempo Medio Entre Fallos (MTBF)</t>
  </si>
  <si>
    <t>Horas de Operación Continua sin Caída del Broker</t>
  </si>
  <si>
    <t>Usabilidad</t>
  </si>
  <si>
    <t>Satisfacción de Interfaz de Usuario</t>
  </si>
  <si>
    <t>Puntuación Promedio de Encuesta SUS (Escala 0-100)</t>
  </si>
  <si>
    <t>Eficiencia</t>
  </si>
  <si>
    <t>Tiempo de Respuesta del Servidor IoT</t>
  </si>
  <si>
    <t>Promedio de Latencia de Ejecución de Comandos (ms)</t>
  </si>
  <si>
    <t>Mantenibilidad</t>
  </si>
  <si>
    <t>Modularidad del Código Backend</t>
  </si>
  <si>
    <t>Porcentaje de Métodos con Complejidad Ciclomática &lt; 10</t>
  </si>
  <si>
    <t>Portabilidad</t>
  </si>
  <si>
    <t>Compatibilidad Multiplataforma Dashboard</t>
  </si>
  <si>
    <t>(Plataformas Operativas Soportadas / Total Planificadas) * 100</t>
  </si>
  <si>
    <t>PROMEDIO GLOBAL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</si>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</sst>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&quot;%&quot;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4"/>
      <color rgb="FF2F3542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3542"/>
        <bgColor rgb="FF2F3542"/>
      </patternFill>
    </fill>
    <fill>
      <patternFill patternType="solid">
        <fgColor rgb="FFF1F2F6"/>
        <bgColor rgb="FFF1F2F6"/>
      </patternFill>
    </fill>
  </fills>
  <borders count="2">
    <border>
      <left/>
      <right/>
      <top/>
      <bottom/>
      <diagonal/>
    </border>
    <border>
      <left style="thin">
        <color rgb="FFDCDDE1"/>
      </left>
      <right style="thin">
        <color rgb="FFDCDDE1"/>
      </right>
      <top style="thin">
        <color rgb="FFDCDDE1"/>
      </top>
      <bottom style="thin">
        <color rgb="FFDCDDE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Gráfico de Araña - Calidad 'Mi Hogar Inteligente'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'Métricas ISO 25000'!$H$3</c:f>
              <c:strCache>
                <c:ptCount val="1"/>
                <c:pt idx="0">
                  <c:v>Puntaje Normalizado (0-5)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'Métricas ISO 25000'!$A$4:$A$12</c:f>
              <c:strCache>
                <c:ptCount val="9"/>
                <c:pt idx="0">
                  <c:v>Funcionalidad</c:v>
                </c:pt>
                <c:pt idx="1">
                  <c:v>Suficiencia (Funcional)</c:v>
                </c:pt>
                <c:pt idx="2">
                  <c:v>Integridad (Seguridad)</c:v>
                </c:pt>
                <c:pt idx="3">
                  <c:v>Fiabilidad</c:v>
                </c:pt>
                <c:pt idx="4">
                  <c:v>Estabilidad (Fiabilidad)</c:v>
                </c:pt>
                <c:pt idx="5">
                  <c:v>Usabilidad</c:v>
                </c:pt>
                <c:pt idx="6">
                  <c:v>Eficiencia</c:v>
                </c:pt>
                <c:pt idx="7">
                  <c:v>Mantenibilidad</c:v>
                </c:pt>
                <c:pt idx="8">
                  <c:v>Portabilidad</c:v>
                </c:pt>
              </c:strCache>
            </c:strRef>
          </c:cat>
          <c:val>
            <c:numRef>
              <c:f>'Métricas ISO 25000'!$H$4:$H$12</c:f>
              <c:numCache>
                <c:formatCode>0.0</c:formatCode>
                <c:ptCount val="9"/>
                <c:pt idx="0">
                  <c:v>4.25</c:v>
                </c:pt>
                <c:pt idx="1">
                  <c:v>3.6734693877551021</c:v>
                </c:pt>
                <c:pt idx="2">
                  <c:v>3.5999999999999996</c:v>
                </c:pt>
                <c:pt idx="3">
                  <c:v>4.3367346938775508</c:v>
                </c:pt>
                <c:pt idx="4">
                  <c:v>4.5238095238095237</c:v>
                </c:pt>
                <c:pt idx="5">
                  <c:v>4.7058823529411766</c:v>
                </c:pt>
                <c:pt idx="6">
                  <c:v>5</c:v>
                </c:pt>
                <c:pt idx="7">
                  <c:v>4.7222222222222223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B-46B8-9FB5-597F6CB4E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61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topLeftCell="A7" zoomScale="57" workbookViewId="0">
      <selection activeCell="E13" sqref="E13"/>
    </sheetView>
  </sheetViews>
  <sheetFormatPr baseColWidth="10" defaultColWidth="8.88671875" defaultRowHeight="14.4" x14ac:dyDescent="0.3"/>
  <cols>
    <col min="1" max="1" width="74" customWidth="1"/>
    <col min="2" max="2" width="44" customWidth="1"/>
    <col min="3" max="3" width="66" customWidth="1"/>
    <col min="4" max="4" width="20" customWidth="1"/>
    <col min="5" max="5" width="18" customWidth="1"/>
    <col min="6" max="6" width="29" customWidth="1"/>
    <col min="7" max="7" width="42" customWidth="1"/>
    <col min="8" max="8" width="36" customWidth="1"/>
    <col min="9" max="9" width="16" customWidth="1"/>
  </cols>
  <sheetData>
    <row r="1" spans="1:9" ht="40.049999999999997" customHeight="1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</row>
    <row r="3" spans="1:9" ht="28.05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9" ht="30" customHeight="1" x14ac:dyDescent="0.3">
      <c r="A4" s="2" t="s">
        <v>9</v>
      </c>
      <c r="B4" s="3" t="s">
        <v>10</v>
      </c>
      <c r="C4" s="3" t="s">
        <v>11</v>
      </c>
      <c r="D4" s="4">
        <v>100</v>
      </c>
      <c r="E4" s="4">
        <v>85</v>
      </c>
      <c r="F4" s="5">
        <f t="shared" ref="F4:F9" si="0">MIN(100, (E4/D4)*100)</f>
        <v>85</v>
      </c>
      <c r="G4" s="2" t="str">
        <f t="shared" ref="G4:G9" si="1">IF(E4&gt;=D4, "Cumple", "No Cumple")</f>
        <v>No Cumple</v>
      </c>
      <c r="H4" s="6">
        <f t="shared" ref="H4:H9" si="2">MIN(5, MAX(0, 5 * (E4 / D4)))</f>
        <v>4.25</v>
      </c>
    </row>
    <row r="5" spans="1:9" ht="30" customHeight="1" x14ac:dyDescent="0.3">
      <c r="A5" s="7" t="s">
        <v>12</v>
      </c>
      <c r="B5" s="8" t="s">
        <v>13</v>
      </c>
      <c r="C5" s="8" t="s">
        <v>14</v>
      </c>
      <c r="D5" s="9">
        <v>98</v>
      </c>
      <c r="E5" s="9">
        <v>72</v>
      </c>
      <c r="F5" s="10">
        <f t="shared" si="0"/>
        <v>73.469387755102048</v>
      </c>
      <c r="G5" s="7" t="str">
        <f t="shared" si="1"/>
        <v>No Cumple</v>
      </c>
      <c r="H5" s="11">
        <f t="shared" si="2"/>
        <v>3.6734693877551021</v>
      </c>
    </row>
    <row r="6" spans="1:9" ht="30" customHeight="1" x14ac:dyDescent="0.3">
      <c r="A6" s="2" t="s">
        <v>15</v>
      </c>
      <c r="B6" s="3" t="s">
        <v>16</v>
      </c>
      <c r="C6" s="3" t="s">
        <v>17</v>
      </c>
      <c r="D6" s="4">
        <v>100</v>
      </c>
      <c r="E6" s="4">
        <v>72</v>
      </c>
      <c r="F6" s="5">
        <f t="shared" si="0"/>
        <v>72</v>
      </c>
      <c r="G6" s="2" t="str">
        <f t="shared" si="1"/>
        <v>No Cumple</v>
      </c>
      <c r="H6" s="6">
        <f t="shared" si="2"/>
        <v>3.5999999999999996</v>
      </c>
    </row>
    <row r="7" spans="1:9" ht="30" customHeight="1" x14ac:dyDescent="0.3">
      <c r="A7" s="7" t="s">
        <v>18</v>
      </c>
      <c r="B7" s="8" t="s">
        <v>19</v>
      </c>
      <c r="C7" s="8" t="s">
        <v>20</v>
      </c>
      <c r="D7" s="9">
        <v>98</v>
      </c>
      <c r="E7" s="9">
        <v>85</v>
      </c>
      <c r="F7" s="10">
        <f t="shared" si="0"/>
        <v>86.734693877551024</v>
      </c>
      <c r="G7" s="7" t="str">
        <f t="shared" si="1"/>
        <v>No Cumple</v>
      </c>
      <c r="H7" s="11">
        <f t="shared" si="2"/>
        <v>4.3367346938775508</v>
      </c>
    </row>
    <row r="8" spans="1:9" ht="30" customHeight="1" x14ac:dyDescent="0.3">
      <c r="A8" s="2" t="s">
        <v>21</v>
      </c>
      <c r="B8" s="3" t="s">
        <v>22</v>
      </c>
      <c r="C8" s="3" t="s">
        <v>23</v>
      </c>
      <c r="D8" s="4">
        <v>168</v>
      </c>
      <c r="E8" s="4">
        <v>152</v>
      </c>
      <c r="F8" s="5">
        <f t="shared" si="0"/>
        <v>90.476190476190482</v>
      </c>
      <c r="G8" s="2" t="str">
        <f t="shared" si="1"/>
        <v>No Cumple</v>
      </c>
      <c r="H8" s="6">
        <f t="shared" si="2"/>
        <v>4.5238095238095237</v>
      </c>
    </row>
    <row r="9" spans="1:9" ht="30" customHeight="1" x14ac:dyDescent="0.3">
      <c r="A9" s="7" t="s">
        <v>24</v>
      </c>
      <c r="B9" s="8" t="s">
        <v>25</v>
      </c>
      <c r="C9" s="8" t="s">
        <v>26</v>
      </c>
      <c r="D9" s="9">
        <v>85</v>
      </c>
      <c r="E9" s="9">
        <v>80</v>
      </c>
      <c r="F9" s="10">
        <f t="shared" si="0"/>
        <v>94.117647058823522</v>
      </c>
      <c r="G9" s="7" t="str">
        <f t="shared" si="1"/>
        <v>No Cumple</v>
      </c>
      <c r="H9" s="11">
        <f t="shared" si="2"/>
        <v>4.7058823529411766</v>
      </c>
    </row>
    <row r="10" spans="1:9" ht="30" customHeight="1" x14ac:dyDescent="0.3">
      <c r="A10" s="2" t="s">
        <v>27</v>
      </c>
      <c r="B10" s="3" t="s">
        <v>28</v>
      </c>
      <c r="C10" s="3" t="s">
        <v>29</v>
      </c>
      <c r="D10" s="4">
        <v>500</v>
      </c>
      <c r="E10" s="4">
        <v>450</v>
      </c>
      <c r="F10" s="5">
        <f>MIN(2000, (D10/E10)*100)</f>
        <v>111.11111111111111</v>
      </c>
      <c r="G10" s="2" t="str">
        <f>IF(E10&lt;=D10, "Cumple", "No Cumple")</f>
        <v>Cumple</v>
      </c>
      <c r="H10" s="6">
        <f>MIN(5, MAX(0, 5 * (D10 / E10)))</f>
        <v>5</v>
      </c>
    </row>
    <row r="11" spans="1:9" ht="30" customHeight="1" x14ac:dyDescent="0.3">
      <c r="A11" s="7" t="s">
        <v>30</v>
      </c>
      <c r="B11" s="8" t="s">
        <v>31</v>
      </c>
      <c r="C11" s="8" t="s">
        <v>32</v>
      </c>
      <c r="D11" s="9">
        <v>90</v>
      </c>
      <c r="E11" s="9">
        <v>85</v>
      </c>
      <c r="F11" s="10">
        <f>MIN(100, (E11/D11)*100)</f>
        <v>94.444444444444443</v>
      </c>
      <c r="G11" s="7" t="str">
        <f>IF(E11&gt;=D11, "Cumple", "No Cumple")</f>
        <v>No Cumple</v>
      </c>
      <c r="H11" s="11">
        <f>MIN(5, MAX(0, 5 * (E11 / D11)))</f>
        <v>4.7222222222222223</v>
      </c>
    </row>
    <row r="12" spans="1:9" ht="30" customHeight="1" x14ac:dyDescent="0.3">
      <c r="A12" s="2" t="s">
        <v>33</v>
      </c>
      <c r="B12" s="3" t="s">
        <v>34</v>
      </c>
      <c r="C12" s="3" t="s">
        <v>35</v>
      </c>
      <c r="D12" s="4">
        <v>100</v>
      </c>
      <c r="E12" s="4">
        <v>80</v>
      </c>
      <c r="F12" s="5">
        <f>MIN(100, (E12/D12)*100)</f>
        <v>80</v>
      </c>
      <c r="G12" s="2" t="str">
        <f>IF(E12&gt;=D12, "Cumple", "No Cumple")</f>
        <v>No Cumple</v>
      </c>
      <c r="H12" s="6">
        <f>MIN(5, MAX(0, 5 * (E12 / D12)))</f>
        <v>4</v>
      </c>
    </row>
    <row r="13" spans="1:9" ht="25.05" customHeight="1" x14ac:dyDescent="0.3">
      <c r="A13" s="17" t="s">
        <v>36</v>
      </c>
      <c r="B13" s="18"/>
      <c r="C13" s="18"/>
      <c r="D13" s="12" t="s">
        <v>37</v>
      </c>
      <c r="E13" s="12" t="s">
        <v>37</v>
      </c>
      <c r="F13" s="13">
        <f>AVERAGE(F4:F12)</f>
        <v>87.483719413691404</v>
      </c>
      <c r="G13" s="12" t="str">
        <f>IF(F13&gt;=90, "Excelente", "Aceptable")</f>
        <v>Aceptable</v>
      </c>
      <c r="H13" s="14">
        <f>AVERAGE(H4:H12)</f>
        <v>4.312457575622842</v>
      </c>
    </row>
  </sheetData>
  <mergeCells count="2">
    <mergeCell ref="A1:I1"/>
    <mergeCell ref="A13:C1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Métricas ISO 25000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STEBAN RUIZ TRIVINO</cp:lastModifiedBy>
  <dcterms:created xsi:type="dcterms:W3CDTF">2026-09-18T12:40:02Z</dcterms:created>
  <dcterms:modified xsi:type="dcterms:W3CDTF">2026-09-18T12:45:03Z</dcterms:modified>
</cp:coreProperties>
</file>