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93A101-1B71-4A31-AF7C-C5A8197E23B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valuación" sheetId="1" r:id="rId1"/>
    <sheet name="Requisitos" sheetId="2" r:id="rId2"/>
    <sheet name="Resumen" sheetId="3" r:id="rId3"/>
  </sheets>
  <definedNames>
    <definedName name="_xlnm._FilterDatabase" localSheetId="1" hidden="1">Requisitos!$A$3:$C$18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A6" i="3"/>
  <c r="D5" i="3"/>
  <c r="A5" i="3"/>
  <c r="D4" i="3"/>
  <c r="A4" i="3"/>
  <c r="B18" i="1"/>
  <c r="B17" i="1"/>
  <c r="B16" i="1"/>
  <c r="F7" i="1"/>
  <c r="F6" i="1"/>
  <c r="F5" i="1"/>
  <c r="C6" i="3" l="1"/>
  <c r="B6" i="3"/>
  <c r="C5" i="3"/>
  <c r="B5" i="3"/>
  <c r="C4" i="3"/>
  <c r="B4" i="3"/>
  <c r="B8" i="3" s="1"/>
</calcChain>
</file>

<file path=xl/sharedStrings.xml><?xml version="1.0" encoding="utf-8"?>
<sst xmlns="http://schemas.openxmlformats.org/spreadsheetml/2006/main" count="91" uniqueCount="76">
  <si>
    <t>Evaluación de calidad funcional - Mi Hogar Inteligente</t>
  </si>
  <si>
    <t>Métrica</t>
  </si>
  <si>
    <t>Variable A</t>
  </si>
  <si>
    <t>Variable B</t>
  </si>
  <si>
    <t>Resultado X</t>
  </si>
  <si>
    <t>VRRC</t>
  </si>
  <si>
    <t>Estabilidad de la especificación funcional</t>
  </si>
  <si>
    <t>A = funciones cambiadas durante el ciclo de desarrollo</t>
  </si>
  <si>
    <t>B = funciones descritas en los requisitos</t>
  </si>
  <si>
    <t>Suficiencia funcional</t>
  </si>
  <si>
    <t>A = funciones con problemas detectados en la evaluación</t>
  </si>
  <si>
    <t>B = funciones evaluadas</t>
  </si>
  <si>
    <t>Integridad de la implementación funcional</t>
  </si>
  <si>
    <t>A = funciones faltantes</t>
  </si>
  <si>
    <t>Interpretación</t>
  </si>
  <si>
    <t>Estabilidad</t>
  </si>
  <si>
    <t>0 a 1; cuanto más cercano a 1, más estable es la especificación funcional.</t>
  </si>
  <si>
    <t>Suficiencia</t>
  </si>
  <si>
    <t>0 a 1; cuanto más cercano a 1, más adecuadas son las funciones evaluadas.</t>
  </si>
  <si>
    <t>Integridad</t>
  </si>
  <si>
    <t>0 a 1; cuanto más cercano a 1, más completa está la implementación respecto a los requisitos.</t>
  </si>
  <si>
    <t>Indicadores resumen</t>
  </si>
  <si>
    <t>Promedio de las 3 métricas</t>
  </si>
  <si>
    <t>Resultado mínimo</t>
  </si>
  <si>
    <t>Resultado máximo</t>
  </si>
  <si>
    <t>Requerimientos funcionales - Mi Hogar Inteligente</t>
  </si>
  <si>
    <t>ID</t>
  </si>
  <si>
    <t>Requerimiento funcional</t>
  </si>
  <si>
    <t>Módulo</t>
  </si>
  <si>
    <t>RF-01</t>
  </si>
  <si>
    <t>Registrar usuarios e iniciar sesión</t>
  </si>
  <si>
    <t>Usuarios</t>
  </si>
  <si>
    <t>RF-02</t>
  </si>
  <si>
    <t>Crear y administrar un hogar</t>
  </si>
  <si>
    <t>Hogar</t>
  </si>
  <si>
    <t>RF-03</t>
  </si>
  <si>
    <t>Gestionar integrantes del hogar</t>
  </si>
  <si>
    <t>RF-04</t>
  </si>
  <si>
    <t>Registrar ingresos y gastos</t>
  </si>
  <si>
    <t>Finanzas</t>
  </si>
  <si>
    <t>RF-05</t>
  </si>
  <si>
    <t>Categorizar y consultar gastos</t>
  </si>
  <si>
    <t>RF-06</t>
  </si>
  <si>
    <t>Establecer y consultar presupuesto</t>
  </si>
  <si>
    <t>RF-07</t>
  </si>
  <si>
    <t>Crear y administrar listas de compras</t>
  </si>
  <si>
    <t>Compras</t>
  </si>
  <si>
    <t>RF-08</t>
  </si>
  <si>
    <t>Registrar y gestionar productos del inventario</t>
  </si>
  <si>
    <t>Inventario</t>
  </si>
  <si>
    <t>RF-09</t>
  </si>
  <si>
    <t>Generar alertas de productos con bajo inventario</t>
  </si>
  <si>
    <t>RF-10</t>
  </si>
  <si>
    <t>Crear y administrar tareas domésticas</t>
  </si>
  <si>
    <t>Tareas</t>
  </si>
  <si>
    <t>RF-11</t>
  </si>
  <si>
    <t>Asignar tareas a integrantes del hogar</t>
  </si>
  <si>
    <t>RF-12</t>
  </si>
  <si>
    <t>Visualizar un dashboard general del hogar</t>
  </si>
  <si>
    <t>Dashboard</t>
  </si>
  <si>
    <t>RF-13</t>
  </si>
  <si>
    <t>Analizar los gastos mediante IA</t>
  </si>
  <si>
    <t>Inteligencia Artificial</t>
  </si>
  <si>
    <t>RF-14</t>
  </si>
  <si>
    <t>Generar recomendaciones de ahorro mediante IA</t>
  </si>
  <si>
    <t>RF-15</t>
  </si>
  <si>
    <t>Generar recomendaciones de compras a partir del inventario</t>
  </si>
  <si>
    <t>Resumen de calidad funcional - Mi Hogar Inteligente</t>
  </si>
  <si>
    <t>Resultado (%)</t>
  </si>
  <si>
    <t>Cumple VRRC*</t>
  </si>
  <si>
    <t>Lectura</t>
  </si>
  <si>
    <t>Indicador calculado</t>
  </si>
  <si>
    <t>Más cercano a 1 = mejor</t>
  </si>
  <si>
    <t>Promedio general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</si>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</sst>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b/>
      <sz val="15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0" fontId="0" fillId="5" borderId="1" xfId="0" applyNumberFormat="1" applyFill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/>
    <xf numFmtId="10" fontId="0" fillId="5" borderId="1" xfId="0" applyNumberFormat="1" applyFill="1" applyBorder="1"/>
    <xf numFmtId="10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0" fontId="0" fillId="0" borderId="1" xfId="0" applyNumberFormat="1" applyBorder="1" applyAlignment="1">
      <alignment vertical="top" wrapText="1"/>
    </xf>
    <xf numFmtId="0" fontId="4" fillId="0" borderId="1" xfId="0" applyFont="1" applyBorder="1"/>
    <xf numFmtId="10" fontId="4" fillId="5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6" borderId="0" xfId="0" applyFill="1" applyAlignment="1">
      <alignment vertical="top" wrapText="1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s-CO"/>
              <a:t>Perfil de calidad funcional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Resumen!$B$3</c:f>
              <c:strCache>
                <c:ptCount val="1"/>
                <c:pt idx="0">
                  <c:v>Resultado X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Resumen!$A$4:$A$6</c:f>
              <c:strCache>
                <c:ptCount val="3"/>
                <c:pt idx="0">
                  <c:v>Estabilidad de la especificación funcional</c:v>
                </c:pt>
                <c:pt idx="1">
                  <c:v>Suficiencia funcional</c:v>
                </c:pt>
                <c:pt idx="2">
                  <c:v>Integridad de la implementación funcional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0.8666666666666667</c:v>
                </c:pt>
                <c:pt idx="1">
                  <c:v>0.8666666666666667</c:v>
                </c:pt>
                <c:pt idx="2">
                  <c:v>0.93333333333333335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6-4AA2-9F32-45A4749F308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Resultado (0-1)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0.2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pane ySplit="4" topLeftCell="A5" activePane="bottomLeft" state="frozen"/>
      <selection pane="bottomLeft" activeCell="D5" sqref="D5"/>
    </sheetView>
  </sheetViews>
  <sheetFormatPr baseColWidth="10" defaultColWidth="8.88671875" defaultRowHeight="14.4" x14ac:dyDescent="0.3"/>
  <cols>
    <col min="1" max="1" width="34" customWidth="1"/>
    <col min="2" max="2" width="43" customWidth="1"/>
    <col min="3" max="3" width="40" customWidth="1"/>
    <col min="4" max="5" width="14" customWidth="1"/>
    <col min="6" max="6" width="15" customWidth="1"/>
    <col min="7" max="7" width="12" customWidth="1"/>
  </cols>
  <sheetData>
    <row r="1" spans="1:7" ht="28.05" customHeight="1" x14ac:dyDescent="0.3">
      <c r="A1" s="15" t="s">
        <v>0</v>
      </c>
      <c r="B1" s="16"/>
      <c r="C1" s="16"/>
      <c r="D1" s="16"/>
      <c r="E1" s="16"/>
      <c r="F1" s="16"/>
      <c r="G1" s="16"/>
    </row>
    <row r="2" spans="1:7" x14ac:dyDescent="0.3">
      <c r="A2" s="17"/>
      <c r="B2" s="16"/>
      <c r="C2" s="16"/>
      <c r="D2" s="16"/>
      <c r="E2" s="16"/>
      <c r="F2" s="16"/>
      <c r="G2" s="16"/>
    </row>
    <row r="4" spans="1:7" x14ac:dyDescent="0.3">
      <c r="A4" s="1" t="s">
        <v>1</v>
      </c>
      <c r="B4" s="1" t="s">
        <v>2</v>
      </c>
      <c r="C4" s="1" t="s">
        <v>3</v>
      </c>
      <c r="D4" s="1" t="s">
        <v>74</v>
      </c>
      <c r="E4" s="1" t="s">
        <v>75</v>
      </c>
      <c r="F4" s="1" t="s">
        <v>4</v>
      </c>
      <c r="G4" s="1" t="s">
        <v>5</v>
      </c>
    </row>
    <row r="5" spans="1:7" ht="28.8" x14ac:dyDescent="0.3">
      <c r="A5" s="2" t="s">
        <v>6</v>
      </c>
      <c r="B5" s="2" t="s">
        <v>7</v>
      </c>
      <c r="C5" s="2" t="s">
        <v>8</v>
      </c>
      <c r="D5" s="3">
        <v>2</v>
      </c>
      <c r="E5" s="3">
        <v>15</v>
      </c>
      <c r="F5" s="4">
        <f>IFERROR(1-D5/E5,0)</f>
        <v>0.8666666666666667</v>
      </c>
      <c r="G5" s="5">
        <v>0.3</v>
      </c>
    </row>
    <row r="6" spans="1:7" ht="28.8" x14ac:dyDescent="0.3">
      <c r="A6" s="2" t="s">
        <v>9</v>
      </c>
      <c r="B6" s="2" t="s">
        <v>10</v>
      </c>
      <c r="C6" s="2" t="s">
        <v>11</v>
      </c>
      <c r="D6" s="3">
        <v>2</v>
      </c>
      <c r="E6" s="3">
        <v>15</v>
      </c>
      <c r="F6" s="4">
        <f>IFERROR(1-D6/E6,0)</f>
        <v>0.8666666666666667</v>
      </c>
      <c r="G6" s="5">
        <v>0.3</v>
      </c>
    </row>
    <row r="7" spans="1:7" ht="28.8" x14ac:dyDescent="0.3">
      <c r="A7" s="2" t="s">
        <v>12</v>
      </c>
      <c r="B7" s="2" t="s">
        <v>13</v>
      </c>
      <c r="C7" s="2" t="s">
        <v>8</v>
      </c>
      <c r="D7" s="3">
        <v>1</v>
      </c>
      <c r="E7" s="3">
        <v>15</v>
      </c>
      <c r="F7" s="4">
        <f>IFERROR(1-D7/E7,0)</f>
        <v>0.93333333333333335</v>
      </c>
      <c r="G7" s="5">
        <v>0.2</v>
      </c>
    </row>
    <row r="10" spans="1:7" x14ac:dyDescent="0.3">
      <c r="A10" s="19" t="s">
        <v>14</v>
      </c>
      <c r="B10" s="16"/>
      <c r="C10" s="16"/>
      <c r="D10" s="16"/>
      <c r="E10" s="16"/>
      <c r="F10" s="16"/>
      <c r="G10" s="16"/>
    </row>
    <row r="11" spans="1:7" x14ac:dyDescent="0.3">
      <c r="A11" s="6" t="s">
        <v>15</v>
      </c>
      <c r="B11" s="18" t="s">
        <v>16</v>
      </c>
      <c r="C11" s="18"/>
      <c r="D11" s="18"/>
      <c r="E11" s="18"/>
      <c r="F11" s="18"/>
      <c r="G11" s="18"/>
    </row>
    <row r="12" spans="1:7" x14ac:dyDescent="0.3">
      <c r="A12" s="6" t="s">
        <v>17</v>
      </c>
      <c r="B12" s="18" t="s">
        <v>18</v>
      </c>
      <c r="C12" s="18"/>
      <c r="D12" s="18"/>
      <c r="E12" s="18"/>
      <c r="F12" s="18"/>
      <c r="G12" s="18"/>
    </row>
    <row r="13" spans="1:7" x14ac:dyDescent="0.3">
      <c r="A13" s="6" t="s">
        <v>19</v>
      </c>
      <c r="B13" s="18" t="s">
        <v>20</v>
      </c>
      <c r="C13" s="18"/>
      <c r="D13" s="18"/>
      <c r="E13" s="18"/>
      <c r="F13" s="18"/>
      <c r="G13" s="18"/>
    </row>
    <row r="15" spans="1:7" x14ac:dyDescent="0.3">
      <c r="A15" s="19" t="s">
        <v>21</v>
      </c>
      <c r="B15" s="16"/>
      <c r="C15" s="16"/>
      <c r="D15" s="16"/>
      <c r="E15" s="16"/>
      <c r="F15" s="16"/>
      <c r="G15" s="16"/>
    </row>
    <row r="16" spans="1:7" x14ac:dyDescent="0.3">
      <c r="A16" s="7" t="s">
        <v>22</v>
      </c>
      <c r="B16" s="8">
        <f>AVERAGE(F5:F7)</f>
        <v>0.88888888888888895</v>
      </c>
    </row>
    <row r="17" spans="1:7" x14ac:dyDescent="0.3">
      <c r="A17" s="7" t="s">
        <v>23</v>
      </c>
      <c r="B17" s="9">
        <f>MIN(F5:F7)</f>
        <v>0.8666666666666667</v>
      </c>
    </row>
    <row r="18" spans="1:7" x14ac:dyDescent="0.3">
      <c r="A18" s="7" t="s">
        <v>24</v>
      </c>
      <c r="B18" s="9">
        <f>MAX(F5:F7)</f>
        <v>0.93333333333333335</v>
      </c>
    </row>
    <row r="20" spans="1:7" x14ac:dyDescent="0.3">
      <c r="A20" s="20"/>
      <c r="B20" s="16"/>
      <c r="C20" s="16"/>
      <c r="D20" s="16"/>
      <c r="E20" s="16"/>
      <c r="F20" s="16"/>
      <c r="G20" s="16"/>
    </row>
    <row r="21" spans="1:7" x14ac:dyDescent="0.3">
      <c r="A21" s="16"/>
      <c r="B21" s="16"/>
      <c r="C21" s="16"/>
      <c r="D21" s="16"/>
      <c r="E21" s="16"/>
      <c r="F21" s="16"/>
      <c r="G21" s="16"/>
    </row>
    <row r="22" spans="1:7" x14ac:dyDescent="0.3">
      <c r="A22" s="16"/>
      <c r="B22" s="16"/>
      <c r="C22" s="16"/>
      <c r="D22" s="16"/>
      <c r="E22" s="16"/>
      <c r="F22" s="16"/>
      <c r="G22" s="16"/>
    </row>
  </sheetData>
  <mergeCells count="8">
    <mergeCell ref="A20:G22"/>
    <mergeCell ref="A10:G10"/>
    <mergeCell ref="B11:G11"/>
    <mergeCell ref="A1:G1"/>
    <mergeCell ref="A2:G2"/>
    <mergeCell ref="B12:G12"/>
    <mergeCell ref="B13:G13"/>
    <mergeCell ref="A15:G15"/>
  </mergeCells>
  <conditionalFormatting sqref="F5:F7">
    <cfRule type="colorScale" priority="1">
      <colorScale>
        <cfvo type="num" val="0"/>
        <cfvo type="num" val="0.7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pane ySplit="3" topLeftCell="A4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12" customWidth="1"/>
    <col min="2" max="2" width="65" customWidth="1"/>
    <col min="3" max="3" width="28" customWidth="1"/>
  </cols>
  <sheetData>
    <row r="1" spans="1:3" ht="19.8" x14ac:dyDescent="0.4">
      <c r="A1" s="21" t="s">
        <v>25</v>
      </c>
      <c r="B1" s="16"/>
      <c r="C1" s="16"/>
    </row>
    <row r="3" spans="1:3" x14ac:dyDescent="0.3">
      <c r="A3" s="10" t="s">
        <v>26</v>
      </c>
      <c r="B3" s="10" t="s">
        <v>27</v>
      </c>
      <c r="C3" s="10" t="s">
        <v>28</v>
      </c>
    </row>
    <row r="4" spans="1:3" x14ac:dyDescent="0.3">
      <c r="A4" s="2" t="s">
        <v>29</v>
      </c>
      <c r="B4" s="2" t="s">
        <v>30</v>
      </c>
      <c r="C4" s="2" t="s">
        <v>31</v>
      </c>
    </row>
    <row r="5" spans="1:3" x14ac:dyDescent="0.3">
      <c r="A5" s="2" t="s">
        <v>32</v>
      </c>
      <c r="B5" s="2" t="s">
        <v>33</v>
      </c>
      <c r="C5" s="2" t="s">
        <v>34</v>
      </c>
    </row>
    <row r="6" spans="1:3" x14ac:dyDescent="0.3">
      <c r="A6" s="2" t="s">
        <v>35</v>
      </c>
      <c r="B6" s="2" t="s">
        <v>36</v>
      </c>
      <c r="C6" s="2" t="s">
        <v>34</v>
      </c>
    </row>
    <row r="7" spans="1:3" x14ac:dyDescent="0.3">
      <c r="A7" s="2" t="s">
        <v>37</v>
      </c>
      <c r="B7" s="2" t="s">
        <v>38</v>
      </c>
      <c r="C7" s="2" t="s">
        <v>39</v>
      </c>
    </row>
    <row r="8" spans="1:3" x14ac:dyDescent="0.3">
      <c r="A8" s="2" t="s">
        <v>40</v>
      </c>
      <c r="B8" s="2" t="s">
        <v>41</v>
      </c>
      <c r="C8" s="2" t="s">
        <v>39</v>
      </c>
    </row>
    <row r="9" spans="1:3" x14ac:dyDescent="0.3">
      <c r="A9" s="2" t="s">
        <v>42</v>
      </c>
      <c r="B9" s="2" t="s">
        <v>43</v>
      </c>
      <c r="C9" s="2" t="s">
        <v>39</v>
      </c>
    </row>
    <row r="10" spans="1:3" x14ac:dyDescent="0.3">
      <c r="A10" s="2" t="s">
        <v>44</v>
      </c>
      <c r="B10" s="2" t="s">
        <v>45</v>
      </c>
      <c r="C10" s="2" t="s">
        <v>46</v>
      </c>
    </row>
    <row r="11" spans="1:3" x14ac:dyDescent="0.3">
      <c r="A11" s="2" t="s">
        <v>47</v>
      </c>
      <c r="B11" s="2" t="s">
        <v>48</v>
      </c>
      <c r="C11" s="2" t="s">
        <v>49</v>
      </c>
    </row>
    <row r="12" spans="1:3" x14ac:dyDescent="0.3">
      <c r="A12" s="2" t="s">
        <v>50</v>
      </c>
      <c r="B12" s="2" t="s">
        <v>51</v>
      </c>
      <c r="C12" s="2" t="s">
        <v>49</v>
      </c>
    </row>
    <row r="13" spans="1:3" x14ac:dyDescent="0.3">
      <c r="A13" s="2" t="s">
        <v>52</v>
      </c>
      <c r="B13" s="2" t="s">
        <v>53</v>
      </c>
      <c r="C13" s="2" t="s">
        <v>54</v>
      </c>
    </row>
    <row r="14" spans="1:3" x14ac:dyDescent="0.3">
      <c r="A14" s="2" t="s">
        <v>55</v>
      </c>
      <c r="B14" s="2" t="s">
        <v>56</v>
      </c>
      <c r="C14" s="2" t="s">
        <v>54</v>
      </c>
    </row>
    <row r="15" spans="1:3" x14ac:dyDescent="0.3">
      <c r="A15" s="2" t="s">
        <v>57</v>
      </c>
      <c r="B15" s="2" t="s">
        <v>58</v>
      </c>
      <c r="C15" s="2" t="s">
        <v>59</v>
      </c>
    </row>
    <row r="16" spans="1:3" x14ac:dyDescent="0.3">
      <c r="A16" s="2" t="s">
        <v>60</v>
      </c>
      <c r="B16" s="2" t="s">
        <v>61</v>
      </c>
      <c r="C16" s="2" t="s">
        <v>62</v>
      </c>
    </row>
    <row r="17" spans="1:3" x14ac:dyDescent="0.3">
      <c r="A17" s="2" t="s">
        <v>63</v>
      </c>
      <c r="B17" s="2" t="s">
        <v>64</v>
      </c>
      <c r="C17" s="2" t="s">
        <v>62</v>
      </c>
    </row>
    <row r="18" spans="1:3" x14ac:dyDescent="0.3">
      <c r="A18" s="2" t="s">
        <v>65</v>
      </c>
      <c r="B18" s="2" t="s">
        <v>66</v>
      </c>
      <c r="C18" s="2" t="s">
        <v>62</v>
      </c>
    </row>
  </sheetData>
  <autoFilter ref="A3:C18" xr:uid="{00000000-0009-0000-0000-000001000000}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zoomScale="85" zoomScaleNormal="85" workbookViewId="0">
      <selection activeCell="A10" sqref="A10:F12"/>
    </sheetView>
  </sheetViews>
  <sheetFormatPr baseColWidth="10" defaultColWidth="8.88671875" defaultRowHeight="14.4" x14ac:dyDescent="0.3"/>
  <cols>
    <col min="1" max="1" width="38" customWidth="1"/>
    <col min="2" max="2" width="16" customWidth="1"/>
    <col min="3" max="3" width="18" customWidth="1"/>
    <col min="4" max="4" width="12" customWidth="1"/>
    <col min="5" max="5" width="20" customWidth="1"/>
    <col min="6" max="6" width="32" customWidth="1"/>
  </cols>
  <sheetData>
    <row r="1" spans="1:6" ht="21" x14ac:dyDescent="0.4">
      <c r="A1" s="22" t="s">
        <v>67</v>
      </c>
      <c r="B1" s="16"/>
      <c r="C1" s="16"/>
      <c r="D1" s="16"/>
      <c r="E1" s="16"/>
      <c r="F1" s="16"/>
    </row>
    <row r="3" spans="1:6" x14ac:dyDescent="0.3">
      <c r="A3" s="11" t="s">
        <v>1</v>
      </c>
      <c r="B3" s="11" t="s">
        <v>4</v>
      </c>
      <c r="C3" s="11" t="s">
        <v>68</v>
      </c>
      <c r="D3" s="11" t="s">
        <v>5</v>
      </c>
      <c r="E3" s="11" t="s">
        <v>69</v>
      </c>
      <c r="F3" s="11" t="s">
        <v>70</v>
      </c>
    </row>
    <row r="4" spans="1:6" x14ac:dyDescent="0.3">
      <c r="A4" s="2" t="str">
        <f>Evaluación!A5</f>
        <v>Estabilidad de la especificación funcional</v>
      </c>
      <c r="B4" s="2">
        <f>Evaluación!F5</f>
        <v>0.8666666666666667</v>
      </c>
      <c r="C4" s="12">
        <f>Evaluación!F5</f>
        <v>0.8666666666666667</v>
      </c>
      <c r="D4" s="2">
        <f>Evaluación!G5</f>
        <v>0.3</v>
      </c>
      <c r="E4" s="2" t="s">
        <v>71</v>
      </c>
      <c r="F4" s="2" t="s">
        <v>72</v>
      </c>
    </row>
    <row r="5" spans="1:6" x14ac:dyDescent="0.3">
      <c r="A5" s="2" t="str">
        <f>Evaluación!A6</f>
        <v>Suficiencia funcional</v>
      </c>
      <c r="B5" s="2">
        <f>Evaluación!F6</f>
        <v>0.8666666666666667</v>
      </c>
      <c r="C5" s="12">
        <f>Evaluación!F6</f>
        <v>0.8666666666666667</v>
      </c>
      <c r="D5" s="2">
        <f>Evaluación!G6</f>
        <v>0.3</v>
      </c>
      <c r="E5" s="2" t="s">
        <v>71</v>
      </c>
      <c r="F5" s="2" t="s">
        <v>72</v>
      </c>
    </row>
    <row r="6" spans="1:6" x14ac:dyDescent="0.3">
      <c r="A6" s="2" t="str">
        <f>Evaluación!A7</f>
        <v>Integridad de la implementación funcional</v>
      </c>
      <c r="B6" s="2">
        <f>Evaluación!F7</f>
        <v>0.93333333333333335</v>
      </c>
      <c r="C6" s="12">
        <f>Evaluación!F7</f>
        <v>0.93333333333333335</v>
      </c>
      <c r="D6" s="2">
        <f>Evaluación!G7</f>
        <v>0.2</v>
      </c>
      <c r="E6" s="2" t="s">
        <v>71</v>
      </c>
      <c r="F6" s="2" t="s">
        <v>72</v>
      </c>
    </row>
    <row r="8" spans="1:6" x14ac:dyDescent="0.3">
      <c r="A8" s="13" t="s">
        <v>73</v>
      </c>
      <c r="B8" s="14">
        <f>AVERAGE(B4:B6)</f>
        <v>0.88888888888888895</v>
      </c>
    </row>
    <row r="10" spans="1:6" x14ac:dyDescent="0.3">
      <c r="A10" s="20"/>
      <c r="B10" s="16"/>
      <c r="C10" s="16"/>
      <c r="D10" s="16"/>
      <c r="E10" s="16"/>
      <c r="F10" s="16"/>
    </row>
    <row r="11" spans="1:6" x14ac:dyDescent="0.3">
      <c r="A11" s="16"/>
      <c r="B11" s="16"/>
      <c r="C11" s="16"/>
      <c r="D11" s="16"/>
      <c r="E11" s="16"/>
      <c r="F11" s="16"/>
    </row>
    <row r="12" spans="1:6" x14ac:dyDescent="0.3">
      <c r="A12" s="16"/>
      <c r="B12" s="16"/>
      <c r="C12" s="16"/>
      <c r="D12" s="16"/>
      <c r="E12" s="16"/>
      <c r="F12" s="16"/>
    </row>
  </sheetData>
  <mergeCells count="2">
    <mergeCell ref="A10:F12"/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Evaluación</vt:lpstr>
      <vt:lpstr>Requisitos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STEBAN RUIZ TRIVINO</cp:lastModifiedBy>
  <dcterms:created xsi:type="dcterms:W3CDTF">2026-08-21T06:17:57Z</dcterms:created>
  <dcterms:modified xsi:type="dcterms:W3CDTF">2026-08-21T06:24:10Z</dcterms:modified>
</cp:coreProperties>
</file>